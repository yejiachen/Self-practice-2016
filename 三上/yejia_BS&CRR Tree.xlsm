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謝長杰\"/>
    </mc:Choice>
  </mc:AlternateContent>
  <bookViews>
    <workbookView xWindow="600" yWindow="60" windowWidth="19395" windowHeight="9405"/>
  </bookViews>
  <sheets>
    <sheet name="工作表1" sheetId="1" r:id="rId1"/>
    <sheet name="工作表2" sheetId="2" r:id="rId2"/>
    <sheet name="工作表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H25" i="1" l="1"/>
  <c r="H24" i="1"/>
  <c r="H23" i="1"/>
  <c r="H22" i="1"/>
  <c r="H21" i="1"/>
  <c r="H20" i="1"/>
  <c r="H19" i="1"/>
  <c r="H18" i="1"/>
  <c r="H17" i="1"/>
  <c r="H16" i="1"/>
  <c r="G25" i="1"/>
  <c r="G24" i="1"/>
  <c r="G23" i="1"/>
  <c r="G22" i="1"/>
  <c r="G21" i="1"/>
  <c r="G20" i="1"/>
  <c r="G19" i="1"/>
  <c r="G18" i="1"/>
  <c r="G17" i="1"/>
  <c r="G16" i="1"/>
  <c r="H15" i="1"/>
  <c r="H14" i="1"/>
  <c r="H13" i="1"/>
  <c r="G15" i="1"/>
  <c r="G14" i="1"/>
  <c r="G13" i="1"/>
</calcChain>
</file>

<file path=xl/sharedStrings.xml><?xml version="1.0" encoding="utf-8"?>
<sst xmlns="http://schemas.openxmlformats.org/spreadsheetml/2006/main" count="36" uniqueCount="34">
  <si>
    <t>sigma</t>
  </si>
  <si>
    <t>Call Value</t>
  </si>
  <si>
    <t>Put Value</t>
  </si>
  <si>
    <t>CPU Time</t>
  </si>
  <si>
    <t>Price</t>
  </si>
  <si>
    <t>Black_Scholes</t>
    <phoneticPr fontId="4" type="noConversion"/>
  </si>
  <si>
    <t>Call Value</t>
    <phoneticPr fontId="4" type="noConversion"/>
  </si>
  <si>
    <t>Put Value</t>
    <phoneticPr fontId="4" type="noConversion"/>
  </si>
  <si>
    <t>CRR_Tree</t>
    <phoneticPr fontId="4" type="noConversion"/>
  </si>
  <si>
    <t>Price</t>
    <phoneticPr fontId="4" type="noConversion"/>
  </si>
  <si>
    <t>European</t>
    <phoneticPr fontId="4" type="noConversion"/>
  </si>
  <si>
    <t>American</t>
    <phoneticPr fontId="4" type="noConversion"/>
  </si>
  <si>
    <t>Steps</t>
    <phoneticPr fontId="4" type="noConversion"/>
  </si>
  <si>
    <t>CPU time</t>
    <phoneticPr fontId="4" type="noConversion"/>
  </si>
  <si>
    <t>BS_Call</t>
    <phoneticPr fontId="4" type="noConversion"/>
  </si>
  <si>
    <t>BS_Put</t>
    <phoneticPr fontId="4" type="noConversion"/>
  </si>
  <si>
    <t>Stock Price</t>
    <phoneticPr fontId="4" type="noConversion"/>
  </si>
  <si>
    <t>Strike Price</t>
    <phoneticPr fontId="4" type="noConversion"/>
  </si>
  <si>
    <t>TTM</t>
    <phoneticPr fontId="4" type="noConversion"/>
  </si>
  <si>
    <t>RF-Rate</t>
    <phoneticPr fontId="4" type="noConversion"/>
  </si>
  <si>
    <t>0.265625sec</t>
    <phoneticPr fontId="4" type="noConversion"/>
  </si>
  <si>
    <t>0.171875sec</t>
    <phoneticPr fontId="4" type="noConversion"/>
  </si>
  <si>
    <t>0.015625sec</t>
    <phoneticPr fontId="4" type="noConversion"/>
  </si>
  <si>
    <t>0.125sec</t>
    <phoneticPr fontId="4" type="noConversion"/>
  </si>
  <si>
    <t>0.015625sec</t>
    <phoneticPr fontId="4" type="noConversion"/>
  </si>
  <si>
    <t>0.03125sec</t>
    <phoneticPr fontId="4" type="noConversion"/>
  </si>
  <si>
    <t>0.046875sec</t>
    <phoneticPr fontId="4" type="noConversion"/>
  </si>
  <si>
    <t>0.09375sec</t>
    <phoneticPr fontId="4" type="noConversion"/>
  </si>
  <si>
    <t>0.078125sec</t>
    <phoneticPr fontId="4" type="noConversion"/>
  </si>
  <si>
    <t>0.203125sec</t>
    <phoneticPr fontId="4" type="noConversion"/>
  </si>
  <si>
    <t>0.3125sec</t>
    <phoneticPr fontId="4" type="noConversion"/>
  </si>
  <si>
    <t>0.390625sec</t>
    <phoneticPr fontId="4" type="noConversion"/>
  </si>
  <si>
    <t>0.421875sec</t>
    <phoneticPr fontId="4" type="noConversion"/>
  </si>
  <si>
    <t>0.5sec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</si>
</sst>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000000000_ "/>
    <numFmt numFmtId="177" formatCode="0.00000000_ "/>
    <numFmt numFmtId="178" formatCode="0.0000000_ "/>
  </numFmts>
  <fonts count="5" x14ac:knownFonts="1">
    <font>
      <sz val="12"/>
      <color theme="1"/>
      <name val="新細明體"/>
      <family val="2"/>
      <charset val="136"/>
      <scheme val="minor"/>
    </font>
    <font>
      <sz val="14"/>
      <color rgb="FF000000"/>
      <name val="Arial Unicode MS"/>
      <family val="2"/>
      <charset val="136"/>
    </font>
    <font>
      <sz val="12"/>
      <color theme="1"/>
      <name val="Arial Unicode MS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1" xfId="0" applyFont="1" applyBorder="1" applyAlignment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/>
    <xf numFmtId="0" fontId="0" fillId="0" borderId="0" xfId="0" applyAlignment="1"/>
    <xf numFmtId="0" fontId="2" fillId="0" borderId="1" xfId="0" applyFont="1" applyBorder="1" applyAlignment="1">
      <alignment horizontal="left"/>
    </xf>
    <xf numFmtId="176" fontId="2" fillId="2" borderId="1" xfId="0" applyNumberFormat="1" applyFont="1" applyFill="1" applyBorder="1" applyAlignment="1"/>
    <xf numFmtId="0" fontId="2" fillId="0" borderId="3" xfId="0" applyFont="1" applyBorder="1" applyAlignment="1"/>
    <xf numFmtId="0" fontId="2" fillId="3" borderId="1" xfId="0" applyFont="1" applyFill="1" applyBorder="1" applyAlignment="1"/>
    <xf numFmtId="0" fontId="2" fillId="0" borderId="1" xfId="0" applyFont="1" applyBorder="1" applyAlignment="1">
      <alignment horizontal="center"/>
    </xf>
    <xf numFmtId="177" fontId="2" fillId="4" borderId="1" xfId="0" applyNumberFormat="1" applyFont="1" applyFill="1" applyBorder="1" applyAlignment="1"/>
    <xf numFmtId="178" fontId="2" fillId="2" borderId="1" xfId="0" applyNumberFormat="1" applyFont="1" applyFill="1" applyBorder="1" applyAlignment="1"/>
    <xf numFmtId="178" fontId="2" fillId="2" borderId="1" xfId="0" applyNumberFormat="1" applyFont="1" applyFill="1" applyBorder="1">
      <alignment vertical="center"/>
    </xf>
    <xf numFmtId="0" fontId="2" fillId="0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zh-TW"/>
              <a:t>Convergence of Binomial</a:t>
            </a:r>
            <a:r>
              <a:rPr lang="en-US" altLang="zh-TW" baseline="0"/>
              <a:t> Price to Block-Scholes Price</a:t>
            </a:r>
          </a:p>
          <a:p>
            <a:pPr>
              <a:defRPr/>
            </a:pPr>
            <a:r>
              <a:rPr lang="en-US" altLang="zh-TW" baseline="0">
                <a:solidFill>
                  <a:srgbClr val="006600"/>
                </a:solidFill>
              </a:rPr>
              <a:t>Euro Call</a:t>
            </a:r>
            <a:endParaRPr lang="zh-TW" altLang="en-US">
              <a:solidFill>
                <a:srgbClr val="006600"/>
              </a:solidFill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833547054420546E-2"/>
          <c:y val="0.17353992284146832"/>
          <c:w val="0.89110262673853879"/>
          <c:h val="0.70113506327050801"/>
        </c:manualLayout>
      </c:layout>
      <c:lineChart>
        <c:grouping val="standard"/>
        <c:varyColors val="0"/>
        <c:ser>
          <c:idx val="1"/>
          <c:order val="0"/>
          <c:tx>
            <c:strRef>
              <c:f>工作表1!$A$10</c:f>
              <c:strCache>
                <c:ptCount val="1"/>
                <c:pt idx="0">
                  <c:v>CRR_Tree</c:v>
                </c:pt>
              </c:strCache>
            </c:strRef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工作表1!$B$13:$B$25</c:f>
              <c:numCache>
                <c:formatCode>General</c:formatCode>
                <c:ptCount val="13"/>
                <c:pt idx="0">
                  <c:v>7.5159585</c:v>
                </c:pt>
                <c:pt idx="1">
                  <c:v>7.4933820999999998</c:v>
                </c:pt>
                <c:pt idx="2">
                  <c:v>7.4610785000000002</c:v>
                </c:pt>
                <c:pt idx="3">
                  <c:v>7.4586626999999996</c:v>
                </c:pt>
                <c:pt idx="4">
                  <c:v>7.4748502999999999</c:v>
                </c:pt>
                <c:pt idx="5">
                  <c:v>7.4728877000000002</c:v>
                </c:pt>
                <c:pt idx="6">
                  <c:v>7.4574629000000003</c:v>
                </c:pt>
                <c:pt idx="7">
                  <c:v>7.4704515999999996</c:v>
                </c:pt>
                <c:pt idx="8">
                  <c:v>7.4723402999999999</c:v>
                </c:pt>
                <c:pt idx="9">
                  <c:v>7.4615403000000002</c:v>
                </c:pt>
                <c:pt idx="10">
                  <c:v>7.4698964999999999</c:v>
                </c:pt>
                <c:pt idx="11">
                  <c:v>7.4710558000000002</c:v>
                </c:pt>
                <c:pt idx="12">
                  <c:v>7.4611103999999999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工作表1!$A$7</c:f>
              <c:strCache>
                <c:ptCount val="1"/>
                <c:pt idx="0">
                  <c:v>Black_Scholes</c:v>
                </c:pt>
              </c:strCache>
            </c:strRef>
          </c:tx>
          <c:spPr>
            <a:ln w="31750">
              <a:solidFill>
                <a:srgbClr val="0000CC"/>
              </a:solidFill>
              <a:prstDash val="dash"/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工作表1!$G$13:$G$25</c:f>
              <c:numCache>
                <c:formatCode>0.0000000_ </c:formatCode>
                <c:ptCount val="13"/>
                <c:pt idx="0">
                  <c:v>7.4680230970999997</c:v>
                </c:pt>
                <c:pt idx="1">
                  <c:v>7.4680230970999997</c:v>
                </c:pt>
                <c:pt idx="2">
                  <c:v>7.4680230970999997</c:v>
                </c:pt>
                <c:pt idx="3">
                  <c:v>7.4680230970999997</c:v>
                </c:pt>
                <c:pt idx="4">
                  <c:v>7.4680230970999997</c:v>
                </c:pt>
                <c:pt idx="5">
                  <c:v>7.4680230970999997</c:v>
                </c:pt>
                <c:pt idx="6">
                  <c:v>7.4680230970999997</c:v>
                </c:pt>
                <c:pt idx="7">
                  <c:v>7.4680230970999997</c:v>
                </c:pt>
                <c:pt idx="8">
                  <c:v>7.4680230970999997</c:v>
                </c:pt>
                <c:pt idx="9">
                  <c:v>7.4680230970999997</c:v>
                </c:pt>
                <c:pt idx="10">
                  <c:v>7.4680230970999997</c:v>
                </c:pt>
                <c:pt idx="11">
                  <c:v>7.4680230970999997</c:v>
                </c:pt>
                <c:pt idx="12">
                  <c:v>7.4680230970999997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042752"/>
        <c:axId val="194042192"/>
      </c:lineChart>
      <c:catAx>
        <c:axId val="19404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zh-TW" sz="1200"/>
                  <a:t>Number of Steps(N)</a:t>
                </a:r>
                <a:endParaRPr lang="zh-TW" altLang="en-US" sz="1200"/>
              </a:p>
            </c:rich>
          </c:tx>
          <c:layout>
            <c:manualLayout>
              <c:xMode val="edge"/>
              <c:yMode val="edge"/>
              <c:x val="0.41347922456960828"/>
              <c:y val="0.94177654063196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194042192"/>
        <c:crosses val="autoZero"/>
        <c:auto val="1"/>
        <c:lblAlgn val="ctr"/>
        <c:lblOffset val="100"/>
        <c:noMultiLvlLbl val="0"/>
      </c:catAx>
      <c:valAx>
        <c:axId val="1940421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200"/>
                </a:pPr>
                <a:r>
                  <a:rPr lang="en-US" altLang="en-US" sz="1200"/>
                  <a:t>Option Price</a:t>
                </a:r>
              </a:p>
            </c:rich>
          </c:tx>
          <c:layout>
            <c:manualLayout>
              <c:xMode val="edge"/>
              <c:yMode val="edge"/>
              <c:x val="3.6845128609807186E-3"/>
              <c:y val="9.1690183151245927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19404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5104418175443701"/>
          <c:y val="0.80431824577726463"/>
          <c:w val="0.32068157685545684"/>
          <c:h val="5.1926701954904661E-2"/>
        </c:manualLayout>
      </c:layout>
      <c:overlay val="1"/>
      <c:txPr>
        <a:bodyPr/>
        <a:lstStyle/>
        <a:p>
          <a:pPr>
            <a:defRPr sz="12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zh-TW"/>
              <a:t>Convergence of Binomial</a:t>
            </a:r>
            <a:r>
              <a:rPr lang="en-US" altLang="zh-TW" baseline="0"/>
              <a:t> Price to Block-Scholes Price</a:t>
            </a:r>
          </a:p>
          <a:p>
            <a:pPr>
              <a:defRPr/>
            </a:pPr>
            <a:r>
              <a:rPr lang="en-US" altLang="zh-TW" baseline="0">
                <a:solidFill>
                  <a:srgbClr val="006600"/>
                </a:solidFill>
              </a:rPr>
              <a:t>Euro Put</a:t>
            </a:r>
            <a:endParaRPr lang="zh-TW" altLang="en-US">
              <a:solidFill>
                <a:srgbClr val="006600"/>
              </a:solidFill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833547054420546E-2"/>
          <c:y val="0.17353992284146832"/>
          <c:w val="0.89110262673853879"/>
          <c:h val="0.70113506327050801"/>
        </c:manualLayout>
      </c:layout>
      <c:lineChart>
        <c:grouping val="standard"/>
        <c:varyColors val="0"/>
        <c:ser>
          <c:idx val="1"/>
          <c:order val="0"/>
          <c:tx>
            <c:strRef>
              <c:f>工作表1!$A$10</c:f>
              <c:strCache>
                <c:ptCount val="1"/>
                <c:pt idx="0">
                  <c:v>CRR_Tree</c:v>
                </c:pt>
              </c:strCache>
            </c:strRef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工作表1!$C$13:$C$25</c:f>
              <c:numCache>
                <c:formatCode>General</c:formatCode>
                <c:ptCount val="13"/>
                <c:pt idx="0">
                  <c:v>8.6679898000000009</c:v>
                </c:pt>
                <c:pt idx="1">
                  <c:v>8.6454134000000007</c:v>
                </c:pt>
                <c:pt idx="2">
                  <c:v>8.6131098000000001</c:v>
                </c:pt>
                <c:pt idx="3">
                  <c:v>8.6106940000000005</c:v>
                </c:pt>
                <c:pt idx="4">
                  <c:v>8.6268816000000008</c:v>
                </c:pt>
                <c:pt idx="5">
                  <c:v>8.6249190000000002</c:v>
                </c:pt>
                <c:pt idx="6">
                  <c:v>8.6094942999999997</c:v>
                </c:pt>
                <c:pt idx="7">
                  <c:v>8.6224830000000008</c:v>
                </c:pt>
                <c:pt idx="8">
                  <c:v>8.6243715999999999</c:v>
                </c:pt>
                <c:pt idx="9">
                  <c:v>8.6135716000000002</c:v>
                </c:pt>
                <c:pt idx="10">
                  <c:v>8.6219277999999999</c:v>
                </c:pt>
                <c:pt idx="11">
                  <c:v>8.6230870999999993</c:v>
                </c:pt>
                <c:pt idx="12">
                  <c:v>8.6131417999999993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工作表1!$A$10</c:f>
              <c:strCache>
                <c:ptCount val="1"/>
                <c:pt idx="0">
                  <c:v>CRR_Tree</c:v>
                </c:pt>
              </c:strCache>
            </c:strRef>
          </c:tx>
          <c:spPr>
            <a:ln w="31750">
              <a:solidFill>
                <a:srgbClr val="0000CC"/>
              </a:solidFill>
              <a:prstDash val="dash"/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工作表1!$H$13:$H$25</c:f>
              <c:numCache>
                <c:formatCode>0.0000000_ </c:formatCode>
                <c:ptCount val="13"/>
                <c:pt idx="0">
                  <c:v>8.6200544199600007</c:v>
                </c:pt>
                <c:pt idx="1">
                  <c:v>8.6200544199600007</c:v>
                </c:pt>
                <c:pt idx="2">
                  <c:v>8.6200544199600007</c:v>
                </c:pt>
                <c:pt idx="3">
                  <c:v>8.6200544199600007</c:v>
                </c:pt>
                <c:pt idx="4">
                  <c:v>8.6200544199600007</c:v>
                </c:pt>
                <c:pt idx="5">
                  <c:v>8.6200544199600007</c:v>
                </c:pt>
                <c:pt idx="6">
                  <c:v>8.6200544199600007</c:v>
                </c:pt>
                <c:pt idx="7">
                  <c:v>8.6200544199600007</c:v>
                </c:pt>
                <c:pt idx="8">
                  <c:v>8.6200544199600007</c:v>
                </c:pt>
                <c:pt idx="9">
                  <c:v>8.6200544199600007</c:v>
                </c:pt>
                <c:pt idx="10">
                  <c:v>8.6200544199600007</c:v>
                </c:pt>
                <c:pt idx="11">
                  <c:v>8.6200544199600007</c:v>
                </c:pt>
                <c:pt idx="12">
                  <c:v>8.6200544199600007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8032"/>
        <c:axId val="36698592"/>
      </c:lineChart>
      <c:catAx>
        <c:axId val="3669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zh-TW" sz="1200"/>
                  <a:t>Number of Steps(N)</a:t>
                </a:r>
                <a:endParaRPr lang="zh-TW" altLang="en-US" sz="1200"/>
              </a:p>
            </c:rich>
          </c:tx>
          <c:layout>
            <c:manualLayout>
              <c:xMode val="edge"/>
              <c:yMode val="edge"/>
              <c:x val="0.41347922456960828"/>
              <c:y val="0.94177654063196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36698592"/>
        <c:crosses val="autoZero"/>
        <c:auto val="1"/>
        <c:lblAlgn val="ctr"/>
        <c:lblOffset val="100"/>
        <c:noMultiLvlLbl val="0"/>
      </c:catAx>
      <c:valAx>
        <c:axId val="366985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200"/>
                </a:pPr>
                <a:r>
                  <a:rPr lang="en-US" altLang="en-US" sz="1200"/>
                  <a:t>Option Price</a:t>
                </a:r>
              </a:p>
            </c:rich>
          </c:tx>
          <c:layout>
            <c:manualLayout>
              <c:xMode val="edge"/>
              <c:yMode val="edge"/>
              <c:x val="3.6845128609807186E-3"/>
              <c:y val="9.1690183151245927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36698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919578441152736"/>
          <c:y val="0.80140066736734494"/>
          <c:w val="0.32068157685545684"/>
          <c:h val="5.1926701954904661E-2"/>
        </c:manualLayout>
      </c:layout>
      <c:overlay val="1"/>
      <c:txPr>
        <a:bodyPr/>
        <a:lstStyle/>
        <a:p>
          <a:pPr>
            <a:defRPr sz="12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9525</xdr:rowOff>
        </xdr:from>
        <xdr:to>
          <xdr:col>5</xdr:col>
          <xdr:colOff>0</xdr:colOff>
          <xdr:row>3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Black_Scholes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7</xdr:col>
          <xdr:colOff>9525</xdr:colOff>
          <xdr:row>3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CRR_Tree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447674</xdr:colOff>
      <xdr:row>25</xdr:row>
      <xdr:rowOff>171450</xdr:rowOff>
    </xdr:from>
    <xdr:to>
      <xdr:col>5</xdr:col>
      <xdr:colOff>504825</xdr:colOff>
      <xdr:row>46</xdr:row>
      <xdr:rowOff>123825</xdr:rowOff>
    </xdr:to>
    <xdr:graphicFrame macro="">
      <xdr:nvGraphicFramePr>
        <xdr:cNvPr id="20" name="圖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857250</xdr:colOff>
      <xdr:row>25</xdr:row>
      <xdr:rowOff>161925</xdr:rowOff>
    </xdr:from>
    <xdr:to>
      <xdr:col>11</xdr:col>
      <xdr:colOff>666751</xdr:colOff>
      <xdr:row>46</xdr:row>
      <xdr:rowOff>114300</xdr:rowOff>
    </xdr:to>
    <xdr:graphicFrame macro="">
      <xdr:nvGraphicFramePr>
        <xdr:cNvPr id="22" name="圖表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26"/>
  <sheetViews>
    <sheetView tabSelected="1" zoomScale="90" zoomScaleNormal="90" workbookViewId="0">
      <selection activeCell="K10" sqref="K10"/>
    </sheetView>
  </sheetViews>
  <sheetFormatPr defaultRowHeight="16.5" x14ac:dyDescent="0.25"/>
  <cols>
    <col min="1" max="1" width="13.5" customWidth="1"/>
    <col min="2" max="2" width="11.875" customWidth="1"/>
    <col min="3" max="3" width="11.75" customWidth="1"/>
    <col min="4" max="4" width="13.625" customWidth="1"/>
    <col min="5" max="5" width="10" customWidth="1"/>
    <col min="6" max="6" width="15.375" customWidth="1"/>
    <col min="7" max="7" width="12.125" customWidth="1"/>
    <col min="8" max="8" width="12.5" customWidth="1"/>
  </cols>
  <sheetData>
    <row r="1" spans="1:8" ht="17.25" x14ac:dyDescent="0.3">
      <c r="A1" s="1" t="s">
        <v>16</v>
      </c>
      <c r="B1" s="2">
        <v>30</v>
      </c>
      <c r="C1" s="3"/>
      <c r="D1" s="3"/>
      <c r="E1" s="3"/>
      <c r="F1" s="3"/>
      <c r="G1" s="4"/>
    </row>
    <row r="2" spans="1:8" ht="17.25" x14ac:dyDescent="0.3">
      <c r="A2" s="1" t="s">
        <v>17</v>
      </c>
      <c r="B2" s="2">
        <v>40</v>
      </c>
      <c r="C2" s="3"/>
      <c r="D2" s="3"/>
      <c r="E2" s="3"/>
      <c r="F2" s="3"/>
      <c r="G2" s="4"/>
    </row>
    <row r="3" spans="1:8" ht="17.25" x14ac:dyDescent="0.3">
      <c r="A3" s="1" t="s">
        <v>18</v>
      </c>
      <c r="B3" s="2">
        <v>5</v>
      </c>
      <c r="C3" s="3"/>
      <c r="D3" s="3"/>
      <c r="E3" s="3"/>
      <c r="F3" s="3"/>
      <c r="G3" s="4"/>
    </row>
    <row r="4" spans="1:8" ht="17.25" x14ac:dyDescent="0.3">
      <c r="A4" s="1" t="s">
        <v>19</v>
      </c>
      <c r="B4" s="2">
        <v>0.05</v>
      </c>
      <c r="C4" s="3"/>
      <c r="D4" s="3"/>
      <c r="E4" s="3"/>
      <c r="F4" s="3"/>
      <c r="G4" s="4"/>
    </row>
    <row r="5" spans="1:8" ht="17.25" x14ac:dyDescent="0.3">
      <c r="A5" s="1" t="s">
        <v>0</v>
      </c>
      <c r="B5" s="2">
        <v>0.3</v>
      </c>
      <c r="C5" s="3"/>
      <c r="D5" s="3"/>
      <c r="E5" s="3"/>
      <c r="F5" s="3"/>
      <c r="G5" s="4"/>
    </row>
    <row r="6" spans="1:8" ht="17.25" x14ac:dyDescent="0.3">
      <c r="A6" s="3"/>
      <c r="B6" s="3"/>
      <c r="C6" s="3"/>
      <c r="D6" s="3"/>
      <c r="E6" s="3"/>
      <c r="F6" s="3"/>
      <c r="G6" s="4"/>
    </row>
    <row r="7" spans="1:8" ht="17.25" x14ac:dyDescent="0.3">
      <c r="A7" s="16" t="s">
        <v>5</v>
      </c>
      <c r="B7" s="5" t="s">
        <v>6</v>
      </c>
      <c r="C7" s="5" t="s">
        <v>7</v>
      </c>
      <c r="D7" s="1" t="s">
        <v>3</v>
      </c>
      <c r="E7" s="3"/>
      <c r="F7" s="3"/>
      <c r="G7" s="4"/>
    </row>
    <row r="8" spans="1:8" ht="17.25" x14ac:dyDescent="0.3">
      <c r="A8" s="17"/>
      <c r="B8" s="2">
        <v>7.4680230970999997</v>
      </c>
      <c r="C8" s="2">
        <v>8.6200544199600007</v>
      </c>
      <c r="D8" s="6" t="s">
        <v>22</v>
      </c>
      <c r="E8" s="3"/>
      <c r="F8" s="3"/>
      <c r="G8" s="4"/>
    </row>
    <row r="9" spans="1:8" ht="17.25" x14ac:dyDescent="0.3">
      <c r="A9" s="3"/>
      <c r="B9" s="3"/>
      <c r="C9" s="3"/>
      <c r="D9" s="3"/>
      <c r="E9" s="3"/>
      <c r="F9" s="3"/>
      <c r="G9" s="4"/>
    </row>
    <row r="10" spans="1:8" ht="17.25" x14ac:dyDescent="0.3">
      <c r="A10" s="16" t="s">
        <v>8</v>
      </c>
      <c r="B10" s="18" t="s">
        <v>9</v>
      </c>
      <c r="C10" s="19"/>
      <c r="D10" s="19" t="s">
        <v>4</v>
      </c>
      <c r="E10" s="19"/>
      <c r="F10" s="3"/>
      <c r="G10" s="4"/>
    </row>
    <row r="11" spans="1:8" ht="17.25" x14ac:dyDescent="0.3">
      <c r="A11" s="17"/>
      <c r="B11" s="18" t="s">
        <v>10</v>
      </c>
      <c r="C11" s="19"/>
      <c r="D11" s="19" t="s">
        <v>11</v>
      </c>
      <c r="E11" s="19"/>
      <c r="F11" s="3"/>
      <c r="G11" s="4"/>
    </row>
    <row r="12" spans="1:8" ht="17.25" x14ac:dyDescent="0.3">
      <c r="A12" s="7" t="s">
        <v>12</v>
      </c>
      <c r="B12" s="9" t="s">
        <v>6</v>
      </c>
      <c r="C12" s="9" t="s">
        <v>7</v>
      </c>
      <c r="D12" s="9" t="s">
        <v>1</v>
      </c>
      <c r="E12" s="9" t="s">
        <v>2</v>
      </c>
      <c r="F12" s="13" t="s">
        <v>13</v>
      </c>
      <c r="G12" s="14" t="s">
        <v>14</v>
      </c>
      <c r="H12" s="15" t="s">
        <v>15</v>
      </c>
    </row>
    <row r="13" spans="1:8" ht="17.25" x14ac:dyDescent="0.3">
      <c r="A13" s="5">
        <v>25</v>
      </c>
      <c r="B13" s="8">
        <v>7.5159585</v>
      </c>
      <c r="C13" s="8">
        <v>8.6679898000000009</v>
      </c>
      <c r="D13" s="8">
        <v>7.5159589999999996</v>
      </c>
      <c r="E13" s="8">
        <v>11.398085099999999</v>
      </c>
      <c r="F13" s="10" t="s">
        <v>25</v>
      </c>
      <c r="G13" s="11">
        <f>B8</f>
        <v>7.4680230970999997</v>
      </c>
      <c r="H13" s="12">
        <f>C8</f>
        <v>8.6200544199600007</v>
      </c>
    </row>
    <row r="14" spans="1:8" ht="17.25" x14ac:dyDescent="0.3">
      <c r="A14" s="5">
        <v>50</v>
      </c>
      <c r="B14" s="8">
        <v>7.4933820999999998</v>
      </c>
      <c r="C14" s="8">
        <v>8.6454134000000007</v>
      </c>
      <c r="D14" s="8">
        <v>7.4933820000000004</v>
      </c>
      <c r="E14" s="8">
        <v>11.393516200000001</v>
      </c>
      <c r="F14" s="10" t="s">
        <v>24</v>
      </c>
      <c r="G14" s="11">
        <f>B8</f>
        <v>7.4680230970999997</v>
      </c>
      <c r="H14" s="12">
        <f>C8</f>
        <v>8.6200544199600007</v>
      </c>
    </row>
    <row r="15" spans="1:8" ht="17.25" x14ac:dyDescent="0.3">
      <c r="A15" s="5">
        <v>100</v>
      </c>
      <c r="B15" s="8">
        <v>7.4610785000000002</v>
      </c>
      <c r="C15" s="8">
        <v>8.6131098000000001</v>
      </c>
      <c r="D15" s="8">
        <v>7.4610779999999997</v>
      </c>
      <c r="E15" s="8">
        <v>11.3968364</v>
      </c>
      <c r="F15" s="10" t="s">
        <v>26</v>
      </c>
      <c r="G15" s="11">
        <f>B8</f>
        <v>7.4680230970999997</v>
      </c>
      <c r="H15" s="12">
        <f>C8</f>
        <v>8.6200544199600007</v>
      </c>
    </row>
    <row r="16" spans="1:8" ht="17.25" x14ac:dyDescent="0.3">
      <c r="A16" s="5">
        <v>125</v>
      </c>
      <c r="B16" s="8">
        <v>7.4586626999999996</v>
      </c>
      <c r="C16" s="8">
        <v>8.6106940000000005</v>
      </c>
      <c r="D16" s="8">
        <v>7.4586629999999996</v>
      </c>
      <c r="E16" s="8">
        <v>11.4005353</v>
      </c>
      <c r="F16" s="10" t="s">
        <v>28</v>
      </c>
      <c r="G16" s="11">
        <f>B8</f>
        <v>7.4680230970999997</v>
      </c>
      <c r="H16" s="12">
        <f>C8</f>
        <v>8.6200544199600007</v>
      </c>
    </row>
    <row r="17" spans="1:8" ht="17.25" x14ac:dyDescent="0.3">
      <c r="A17" s="5">
        <v>150</v>
      </c>
      <c r="B17" s="8">
        <v>7.4748502999999999</v>
      </c>
      <c r="C17" s="8">
        <v>8.6268816000000008</v>
      </c>
      <c r="D17" s="8">
        <v>7.47485</v>
      </c>
      <c r="E17" s="8">
        <v>11.4026329</v>
      </c>
      <c r="F17" s="10" t="s">
        <v>27</v>
      </c>
      <c r="G17" s="11">
        <f>B8</f>
        <v>7.4680230970999997</v>
      </c>
      <c r="H17" s="12">
        <f>C8</f>
        <v>8.6200544199600007</v>
      </c>
    </row>
    <row r="18" spans="1:8" ht="17.25" x14ac:dyDescent="0.3">
      <c r="A18" s="5">
        <v>175</v>
      </c>
      <c r="B18" s="8">
        <v>7.4728877000000002</v>
      </c>
      <c r="C18" s="8">
        <v>8.6249190000000002</v>
      </c>
      <c r="D18" s="8">
        <v>7.4728880000000002</v>
      </c>
      <c r="E18" s="8">
        <v>11.404442100000001</v>
      </c>
      <c r="F18" s="10" t="s">
        <v>23</v>
      </c>
      <c r="G18" s="11">
        <f>B8</f>
        <v>7.4680230970999997</v>
      </c>
      <c r="H18" s="12">
        <f>C8</f>
        <v>8.6200544199600007</v>
      </c>
    </row>
    <row r="19" spans="1:8" ht="17.25" x14ac:dyDescent="0.3">
      <c r="A19" s="5">
        <v>200</v>
      </c>
      <c r="B19" s="8">
        <v>7.4574629000000003</v>
      </c>
      <c r="C19" s="8">
        <v>8.6094942999999997</v>
      </c>
      <c r="D19" s="8">
        <v>7.4574629999999997</v>
      </c>
      <c r="E19" s="8">
        <v>11.402154299999999</v>
      </c>
      <c r="F19" s="10" t="s">
        <v>21</v>
      </c>
      <c r="G19" s="11">
        <f>B8</f>
        <v>7.4680230970999997</v>
      </c>
      <c r="H19" s="12">
        <f>C8</f>
        <v>8.6200544199600007</v>
      </c>
    </row>
    <row r="20" spans="1:8" ht="17.25" x14ac:dyDescent="0.3">
      <c r="A20" s="5">
        <v>225</v>
      </c>
      <c r="B20" s="8">
        <v>7.4704515999999996</v>
      </c>
      <c r="C20" s="8">
        <v>8.6224830000000008</v>
      </c>
      <c r="D20" s="8">
        <v>7.4704519999999999</v>
      </c>
      <c r="E20" s="8">
        <v>11.4030643</v>
      </c>
      <c r="F20" s="10" t="s">
        <v>29</v>
      </c>
      <c r="G20" s="11">
        <f>B8</f>
        <v>7.4680230970999997</v>
      </c>
      <c r="H20" s="12">
        <f>C8</f>
        <v>8.6200544199600007</v>
      </c>
    </row>
    <row r="21" spans="1:8" ht="17.25" x14ac:dyDescent="0.3">
      <c r="A21" s="5">
        <v>250</v>
      </c>
      <c r="B21" s="8">
        <v>7.4723402999999999</v>
      </c>
      <c r="C21" s="8">
        <v>8.6243715999999999</v>
      </c>
      <c r="D21" s="8">
        <v>7.47234</v>
      </c>
      <c r="E21" s="8">
        <v>11.4045562</v>
      </c>
      <c r="F21" s="10" t="s">
        <v>20</v>
      </c>
      <c r="G21" s="11">
        <f>B8</f>
        <v>7.4680230970999997</v>
      </c>
      <c r="H21" s="12">
        <f>C8</f>
        <v>8.6200544199600007</v>
      </c>
    </row>
    <row r="22" spans="1:8" ht="17.25" x14ac:dyDescent="0.3">
      <c r="A22" s="5">
        <v>275</v>
      </c>
      <c r="B22" s="8">
        <v>7.4615403000000002</v>
      </c>
      <c r="C22" s="8">
        <v>8.6135716000000002</v>
      </c>
      <c r="D22" s="8">
        <v>7.4615400000000003</v>
      </c>
      <c r="E22" s="8">
        <v>11.4031468</v>
      </c>
      <c r="F22" s="10" t="s">
        <v>30</v>
      </c>
      <c r="G22" s="11">
        <f>B8</f>
        <v>7.4680230970999997</v>
      </c>
      <c r="H22" s="12">
        <f>C8</f>
        <v>8.6200544199600007</v>
      </c>
    </row>
    <row r="23" spans="1:8" ht="17.25" x14ac:dyDescent="0.3">
      <c r="A23" s="5">
        <v>300</v>
      </c>
      <c r="B23" s="8">
        <v>7.4698964999999999</v>
      </c>
      <c r="C23" s="8">
        <v>8.6219277999999999</v>
      </c>
      <c r="D23" s="8">
        <v>7.4698969999999996</v>
      </c>
      <c r="E23" s="8">
        <v>11.4047678</v>
      </c>
      <c r="F23" s="10" t="s">
        <v>31</v>
      </c>
      <c r="G23" s="11">
        <f>B8</f>
        <v>7.4680230970999997</v>
      </c>
      <c r="H23" s="12">
        <f>C8</f>
        <v>8.6200544199600007</v>
      </c>
    </row>
    <row r="24" spans="1:8" ht="17.25" x14ac:dyDescent="0.3">
      <c r="A24" s="5">
        <v>325</v>
      </c>
      <c r="B24" s="8">
        <v>7.4710558000000002</v>
      </c>
      <c r="C24" s="8">
        <v>8.6230870999999993</v>
      </c>
      <c r="D24" s="8">
        <v>7.4710559999999999</v>
      </c>
      <c r="E24" s="8">
        <v>11.4043601</v>
      </c>
      <c r="F24" s="10" t="s">
        <v>32</v>
      </c>
      <c r="G24" s="11">
        <f>B8</f>
        <v>7.4680230970999997</v>
      </c>
      <c r="H24" s="12">
        <f>C8</f>
        <v>8.6200544199600007</v>
      </c>
    </row>
    <row r="25" spans="1:8" ht="17.25" x14ac:dyDescent="0.3">
      <c r="A25" s="5">
        <v>350</v>
      </c>
      <c r="B25" s="8">
        <v>7.4611103999999999</v>
      </c>
      <c r="C25" s="8">
        <v>8.6131417999999993</v>
      </c>
      <c r="D25" s="8">
        <v>7.4611099999999997</v>
      </c>
      <c r="E25" s="8">
        <v>11.402337299999999</v>
      </c>
      <c r="F25" s="10" t="s">
        <v>33</v>
      </c>
      <c r="G25" s="11">
        <f>B8</f>
        <v>7.4680230970999997</v>
      </c>
      <c r="H25" s="12">
        <f>C8</f>
        <v>8.6200544199600007</v>
      </c>
    </row>
    <row r="26" spans="1:8" x14ac:dyDescent="0.25">
      <c r="A26" s="4"/>
      <c r="B26" s="4"/>
      <c r="C26" s="4"/>
      <c r="D26" s="4"/>
      <c r="E26" s="4"/>
      <c r="F26" s="4"/>
    </row>
  </sheetData>
  <mergeCells count="6">
    <mergeCell ref="A7:A8"/>
    <mergeCell ref="A10:A11"/>
    <mergeCell ref="B10:C10"/>
    <mergeCell ref="D10:E10"/>
    <mergeCell ref="B11:C11"/>
    <mergeCell ref="D11:E1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lack_scholes_dec12">
                <anchor moveWithCells="1" sizeWithCells="1">
                  <from>
                    <xdr:col>3</xdr:col>
                    <xdr:colOff>19050</xdr:colOff>
                    <xdr:row>2</xdr:row>
                    <xdr:rowOff>9525</xdr:rowOff>
                  </from>
                  <to>
                    <xdr:col>5</xdr:col>
                    <xdr:colOff>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R_Tree_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7</xdr:col>
                    <xdr:colOff>9525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2015-12-12T06:36:28Z</dcterms:created>
  <dcterms:modified xsi:type="dcterms:W3CDTF">2015-12-26T04:22:41Z</dcterms:modified>
</cp:coreProperties>
</file>